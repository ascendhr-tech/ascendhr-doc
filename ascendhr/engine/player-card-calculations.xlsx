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ttribute_Library" sheetId="2" state="visible" r:id="rId2"/>
    <sheet name="Position_Requirements" sheetId="3" state="visible" r:id="rId3"/>
    <sheet name="Overall_Score" sheetId="4" state="visible" r:id="rId4"/>
    <sheet name="Fit_Score" sheetId="5" state="visible" r:id="rId5"/>
    <sheet name="Exam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4"/>
    </font>
    <font>
      <b val="1"/>
      <sz val="14"/>
    </font>
    <font>
      <b val="1"/>
      <sz val="12"/>
    </font>
    <font>
      <b val="1"/>
      <color rgb="002563EB"/>
      <sz val="16"/>
    </font>
    <font>
      <b val="1"/>
      <color rgb="0022C55E"/>
      <sz val="16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Player Card Calculation Logic - Summary</t>
        </is>
      </c>
    </row>
    <row r="2">
      <c r="A2" t="inlineStr"/>
    </row>
    <row r="3">
      <c r="A3" t="inlineStr">
        <is>
          <t>This Excel file summarizes the calculation formulas for the Player Card system.</t>
        </is>
      </c>
    </row>
    <row r="4">
      <c r="A4" t="inlineStr">
        <is>
          <t>Use this as a reference for implementing the calculation engine.</t>
        </is>
      </c>
    </row>
    <row r="5">
      <c r="A5" t="inlineStr"/>
    </row>
    <row r="6">
      <c r="A6" s="2" t="inlineStr">
        <is>
          <t>SHEETS:</t>
        </is>
      </c>
    </row>
    <row r="7">
      <c r="A7" t="inlineStr">
        <is>
          <t>1. README - This overview</t>
        </is>
      </c>
    </row>
    <row r="8">
      <c r="A8" t="inlineStr">
        <is>
          <t>2. Attribute_Library - All attributes with weights</t>
        </is>
      </c>
    </row>
    <row r="9">
      <c r="A9" t="inlineStr">
        <is>
          <t>3. Position_Requirements - Sample position config</t>
        </is>
      </c>
    </row>
    <row r="10">
      <c r="A10" t="inlineStr">
        <is>
          <t>4. Overall_Score - Calculator with formulas</t>
        </is>
      </c>
    </row>
    <row r="11">
      <c r="A11" t="inlineStr">
        <is>
          <t>5. Fit_Score - Position fit calculator</t>
        </is>
      </c>
    </row>
    <row r="12">
      <c r="A12" t="inlineStr">
        <is>
          <t>6. Example - Complete worked example</t>
        </is>
      </c>
    </row>
    <row r="13">
      <c r="A13" t="inlineStr"/>
    </row>
    <row r="14">
      <c r="A14" s="2" t="inlineStr">
        <is>
          <t>KEY CONCEPTS:</t>
        </is>
      </c>
    </row>
    <row r="15">
      <c r="A15" t="inlineStr">
        <is>
          <t>• Attribute Weight: Low (×1.0), Medium (×1.25), High (×1.5) - affects Overall Score</t>
        </is>
      </c>
    </row>
    <row r="16">
      <c r="A16" t="inlineStr">
        <is>
          <t>• Position Priority: ★ (×1), ★★ (×2), ★★★ (×3) - affects Fit Score</t>
        </is>
      </c>
    </row>
    <row r="17">
      <c r="A17" t="inlineStr">
        <is>
          <t>• Scale: 1-5 Low, 6-10 Developing, 11-15 Proficient, 16-20 Exceptional</t>
        </is>
      </c>
    </row>
    <row r="18">
      <c r="A18" t="inlineStr">
        <is>
          <t>• Overall Score: Weighted average × 5, range 0-100</t>
        </is>
      </c>
    </row>
    <row r="19">
      <c r="A19" t="inlineStr">
        <is>
          <t>• Fit Score: Priority-weighted average of attribute scores, range 0-100%</t>
        </is>
      </c>
    </row>
    <row r="20">
      <c r="A20" t="inlineStr"/>
    </row>
    <row r="21">
      <c r="A21" t="inlineStr">
        <is>
          <t>Version: 2.0</t>
        </is>
      </c>
    </row>
    <row r="22">
      <c r="A22" t="inlineStr">
        <is>
          <t>Date: 2024-12-25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</cols>
  <sheetData>
    <row r="1">
      <c r="A1" s="3" t="inlineStr">
        <is>
          <t>Attribute</t>
        </is>
      </c>
      <c r="B1" s="3" t="inlineStr">
        <is>
          <t>Category</t>
        </is>
      </c>
      <c r="C1" s="3" t="inlineStr">
        <is>
          <t>Weight</t>
        </is>
      </c>
      <c r="D1" s="3" t="inlineStr">
        <is>
          <t>Multiplier</t>
        </is>
      </c>
      <c r="E1" s="3" t="inlineStr">
        <is>
          <t>Description</t>
        </is>
      </c>
    </row>
    <row r="2">
      <c r="A2" s="4" t="inlineStr">
        <is>
          <t>Leadership</t>
        </is>
      </c>
      <c r="B2" s="4" t="inlineStr">
        <is>
          <t>Core</t>
        </is>
      </c>
      <c r="C2" s="4" t="inlineStr">
        <is>
          <t>High</t>
        </is>
      </c>
      <c r="D2" s="4" t="n">
        <v>1.5</v>
      </c>
      <c r="E2" s="4" t="inlineStr">
        <is>
          <t>Guide and inspire teams</t>
        </is>
      </c>
    </row>
    <row r="3">
      <c r="A3" s="4" t="inlineStr">
        <is>
          <t>Teamwork</t>
        </is>
      </c>
      <c r="B3" s="4" t="inlineStr">
        <is>
          <t>Core</t>
        </is>
      </c>
      <c r="C3" s="4" t="inlineStr">
        <is>
          <t>High</t>
        </is>
      </c>
      <c r="D3" s="4" t="n">
        <v>1.5</v>
      </c>
      <c r="E3" s="4" t="inlineStr">
        <is>
          <t>Collaborative effectiveness</t>
        </is>
      </c>
    </row>
    <row r="4">
      <c r="A4" s="4" t="inlineStr">
        <is>
          <t>Communication</t>
        </is>
      </c>
      <c r="B4" s="4" t="inlineStr">
        <is>
          <t>Core</t>
        </is>
      </c>
      <c r="C4" s="4" t="inlineStr">
        <is>
          <t>Medium</t>
        </is>
      </c>
      <c r="D4" s="4" t="n">
        <v>1.25</v>
      </c>
      <c r="E4" s="4" t="inlineStr">
        <is>
          <t>Clear expression</t>
        </is>
      </c>
    </row>
    <row r="5">
      <c r="A5" s="4" t="inlineStr">
        <is>
          <t>Adaptability</t>
        </is>
      </c>
      <c r="B5" s="4" t="inlineStr">
        <is>
          <t>Core</t>
        </is>
      </c>
      <c r="C5" s="4" t="inlineStr">
        <is>
          <t>Medium</t>
        </is>
      </c>
      <c r="D5" s="4" t="n">
        <v>1.25</v>
      </c>
      <c r="E5" s="4" t="inlineStr">
        <is>
          <t>Flexibility in change</t>
        </is>
      </c>
    </row>
    <row r="6">
      <c r="A6" s="4" t="inlineStr">
        <is>
          <t>Determination</t>
        </is>
      </c>
      <c r="B6" s="4" t="inlineStr">
        <is>
          <t>Core</t>
        </is>
      </c>
      <c r="C6" s="4" t="inlineStr">
        <is>
          <t>Medium</t>
        </is>
      </c>
      <c r="D6" s="4" t="n">
        <v>1.25</v>
      </c>
      <c r="E6" s="4" t="inlineStr">
        <is>
          <t>Persistence and drive</t>
        </is>
      </c>
    </row>
    <row r="7">
      <c r="A7" s="4" t="inlineStr">
        <is>
          <t>Coding</t>
        </is>
      </c>
      <c r="B7" s="4" t="inlineStr">
        <is>
          <t>Technical</t>
        </is>
      </c>
      <c r="C7" s="4" t="inlineStr">
        <is>
          <t>High</t>
        </is>
      </c>
      <c r="D7" s="4" t="n">
        <v>1.5</v>
      </c>
      <c r="E7" s="4" t="inlineStr">
        <is>
          <t>Programming proficiency</t>
        </is>
      </c>
    </row>
    <row r="8">
      <c r="A8" s="4" t="inlineStr">
        <is>
          <t>System Design</t>
        </is>
      </c>
      <c r="B8" s="4" t="inlineStr">
        <is>
          <t>Technical</t>
        </is>
      </c>
      <c r="C8" s="4" t="inlineStr">
        <is>
          <t>High</t>
        </is>
      </c>
      <c r="D8" s="4" t="n">
        <v>1.5</v>
      </c>
      <c r="E8" s="4" t="inlineStr">
        <is>
          <t>Architecture skills</t>
        </is>
      </c>
    </row>
    <row r="9">
      <c r="A9" s="4" t="inlineStr">
        <is>
          <t>Problem Solving</t>
        </is>
      </c>
      <c r="B9" s="4" t="inlineStr">
        <is>
          <t>Technical</t>
        </is>
      </c>
      <c r="C9" s="4" t="inlineStr">
        <is>
          <t>Medium</t>
        </is>
      </c>
      <c r="D9" s="4" t="n">
        <v>1.25</v>
      </c>
      <c r="E9" s="4" t="inlineStr">
        <is>
          <t>Analytical thinking</t>
        </is>
      </c>
    </row>
    <row r="10">
      <c r="A10" s="4" t="inlineStr">
        <is>
          <t>Visual Design</t>
        </is>
      </c>
      <c r="B10" s="4" t="inlineStr">
        <is>
          <t>Technical</t>
        </is>
      </c>
      <c r="C10" s="4" t="inlineStr">
        <is>
          <t>High</t>
        </is>
      </c>
      <c r="D10" s="4" t="n">
        <v>1.5</v>
      </c>
      <c r="E10" s="4" t="inlineStr">
        <is>
          <t>Aesthetic sense</t>
        </is>
      </c>
    </row>
    <row r="11">
      <c r="A11" s="4" t="inlineStr">
        <is>
          <t>UX Thinking</t>
        </is>
      </c>
      <c r="B11" s="4" t="inlineStr">
        <is>
          <t>Technical</t>
        </is>
      </c>
      <c r="C11" s="4" t="inlineStr">
        <is>
          <t>Medium</t>
        </is>
      </c>
      <c r="D11" s="4" t="n">
        <v>1.25</v>
      </c>
      <c r="E11" s="4" t="inlineStr">
        <is>
          <t>User-centered design</t>
        </is>
      </c>
    </row>
    <row r="12">
      <c r="A12" s="4" t="inlineStr">
        <is>
          <t>Data Analysis</t>
        </is>
      </c>
      <c r="B12" s="4" t="inlineStr">
        <is>
          <t>Technical</t>
        </is>
      </c>
      <c r="C12" s="4" t="inlineStr">
        <is>
          <t>Medium</t>
        </is>
      </c>
      <c r="D12" s="4" t="n">
        <v>1.25</v>
      </c>
      <c r="E12" s="4" t="inlineStr">
        <is>
          <t>Data interpretation</t>
        </is>
      </c>
    </row>
    <row r="13">
      <c r="A13" s="4" t="inlineStr">
        <is>
          <t>Negotiation</t>
        </is>
      </c>
      <c r="B13" s="4" t="inlineStr">
        <is>
          <t>Business</t>
        </is>
      </c>
      <c r="C13" s="4" t="inlineStr">
        <is>
          <t>High</t>
        </is>
      </c>
      <c r="D13" s="4" t="n">
        <v>1.5</v>
      </c>
      <c r="E13" s="4" t="inlineStr">
        <is>
          <t>Deal-making skills</t>
        </is>
      </c>
    </row>
    <row r="14">
      <c r="A14" s="4" t="inlineStr">
        <is>
          <t>Closing</t>
        </is>
      </c>
      <c r="B14" s="4" t="inlineStr">
        <is>
          <t>Business</t>
        </is>
      </c>
      <c r="C14" s="4" t="inlineStr">
        <is>
          <t>High</t>
        </is>
      </c>
      <c r="D14" s="4" t="n">
        <v>1.5</v>
      </c>
      <c r="E14" s="4" t="inlineStr">
        <is>
          <t>Sales conversion</t>
        </is>
      </c>
    </row>
    <row r="15">
      <c r="A15" s="4" t="inlineStr">
        <is>
          <t>Client Relations</t>
        </is>
      </c>
      <c r="B15" s="4" t="inlineStr">
        <is>
          <t>Business</t>
        </is>
      </c>
      <c r="C15" s="4" t="inlineStr">
        <is>
          <t>Medium</t>
        </is>
      </c>
      <c r="D15" s="4" t="n">
        <v>1.25</v>
      </c>
      <c r="E15" s="4" t="inlineStr">
        <is>
          <t>Relationship building</t>
        </is>
      </c>
    </row>
    <row r="16">
      <c r="A16" s="4" t="inlineStr">
        <is>
          <t>Strategic Thinking</t>
        </is>
      </c>
      <c r="B16" s="4" t="inlineStr">
        <is>
          <t>Business</t>
        </is>
      </c>
      <c r="C16" s="4" t="inlineStr">
        <is>
          <t>Medium</t>
        </is>
      </c>
      <c r="D16" s="4" t="n">
        <v>1.25</v>
      </c>
      <c r="E16" s="4" t="inlineStr">
        <is>
          <t>Long-term planning</t>
        </is>
      </c>
    </row>
    <row r="17">
      <c r="A17" s="4" t="inlineStr">
        <is>
          <t>Creativity</t>
        </is>
      </c>
      <c r="B17" s="4" t="inlineStr">
        <is>
          <t>Creative</t>
        </is>
      </c>
      <c r="C17" s="4" t="inlineStr">
        <is>
          <t>Low</t>
        </is>
      </c>
      <c r="D17" s="4" t="n">
        <v>1</v>
      </c>
      <c r="E17" s="4" t="inlineStr">
        <is>
          <t>Innovation and ideas</t>
        </is>
      </c>
    </row>
    <row r="18">
      <c r="A18" s="4" t="inlineStr">
        <is>
          <t>Prototyping</t>
        </is>
      </c>
      <c r="B18" s="4" t="inlineStr">
        <is>
          <t>Creative</t>
        </is>
      </c>
      <c r="C18" s="4" t="inlineStr">
        <is>
          <t>Low</t>
        </is>
      </c>
      <c r="D18" s="4" t="n">
        <v>1</v>
      </c>
      <c r="E18" s="4" t="inlineStr">
        <is>
          <t>Rapid iteration</t>
        </is>
      </c>
    </row>
    <row r="19">
      <c r="A19" s="4" t="inlineStr">
        <is>
          <t>Design Thinking</t>
        </is>
      </c>
      <c r="B19" s="4" t="inlineStr">
        <is>
          <t>Creative</t>
        </is>
      </c>
      <c r="C19" s="4" t="inlineStr">
        <is>
          <t>Medium</t>
        </is>
      </c>
      <c r="D19" s="4" t="n">
        <v>1.25</v>
      </c>
      <c r="E19" s="4" t="inlineStr">
        <is>
          <t>Human-centered approach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3" t="inlineStr">
        <is>
          <t>Position</t>
        </is>
      </c>
      <c r="B1" s="3" t="inlineStr">
        <is>
          <t>Attribute</t>
        </is>
      </c>
      <c r="C1" s="3" t="inlineStr">
        <is>
          <t>Priority</t>
        </is>
      </c>
      <c r="D1" s="3" t="inlineStr">
        <is>
          <t>Priority Weight</t>
        </is>
      </c>
      <c r="E1" s="3" t="inlineStr">
        <is>
          <t>Min Value</t>
        </is>
      </c>
    </row>
    <row r="2">
      <c r="A2" s="4" t="inlineStr">
        <is>
          <t>Sr. Backend Developer</t>
        </is>
      </c>
      <c r="B2" s="4" t="inlineStr">
        <is>
          <t>Coding</t>
        </is>
      </c>
      <c r="C2" s="4" t="inlineStr">
        <is>
          <t>Critical ★★★</t>
        </is>
      </c>
      <c r="D2" s="4" t="n">
        <v>3</v>
      </c>
      <c r="E2" s="4" t="n">
        <v>15</v>
      </c>
    </row>
    <row r="3">
      <c r="A3" s="4" t="inlineStr">
        <is>
          <t>Sr. Backend Developer</t>
        </is>
      </c>
      <c r="B3" s="4" t="inlineStr">
        <is>
          <t>System Design</t>
        </is>
      </c>
      <c r="C3" s="4" t="inlineStr">
        <is>
          <t>Critical ★★★</t>
        </is>
      </c>
      <c r="D3" s="4" t="n">
        <v>3</v>
      </c>
      <c r="E3" s="4" t="n">
        <v>13</v>
      </c>
    </row>
    <row r="4">
      <c r="A4" s="4" t="inlineStr">
        <is>
          <t>Sr. Backend Developer</t>
        </is>
      </c>
      <c r="B4" s="4" t="inlineStr">
        <is>
          <t>Teamwork</t>
        </is>
      </c>
      <c r="C4" s="4" t="inlineStr">
        <is>
          <t>Critical ★★★</t>
        </is>
      </c>
      <c r="D4" s="4" t="n">
        <v>3</v>
      </c>
      <c r="E4" s="4" t="n">
        <v>14</v>
      </c>
    </row>
    <row r="5">
      <c r="A5" s="4" t="inlineStr">
        <is>
          <t>Sr. Backend Developer</t>
        </is>
      </c>
      <c r="B5" s="4" t="inlineStr">
        <is>
          <t>Leadership</t>
        </is>
      </c>
      <c r="C5" s="4" t="inlineStr">
        <is>
          <t>Important ★★</t>
        </is>
      </c>
      <c r="D5" s="4" t="n">
        <v>2</v>
      </c>
      <c r="E5" s="4" t="n">
        <v>12</v>
      </c>
    </row>
    <row r="6">
      <c r="A6" s="4" t="inlineStr">
        <is>
          <t>Sr. Backend Developer</t>
        </is>
      </c>
      <c r="B6" s="4" t="inlineStr">
        <is>
          <t>Problem Solving</t>
        </is>
      </c>
      <c r="C6" s="4" t="inlineStr">
        <is>
          <t>Important ★★</t>
        </is>
      </c>
      <c r="D6" s="4" t="n">
        <v>2</v>
      </c>
      <c r="E6" s="4" t="n">
        <v>12</v>
      </c>
    </row>
    <row r="7">
      <c r="A7" s="4" t="inlineStr">
        <is>
          <t>Sr. Backend Developer</t>
        </is>
      </c>
      <c r="B7" s="4" t="inlineStr">
        <is>
          <t>Communication</t>
        </is>
      </c>
      <c r="C7" s="4" t="inlineStr">
        <is>
          <t>Nice-to-have ★</t>
        </is>
      </c>
      <c r="D7" s="4" t="n">
        <v>1</v>
      </c>
      <c r="E7" s="4" t="n">
        <v>10</v>
      </c>
    </row>
    <row r="8">
      <c r="A8" s="5" t="inlineStr"/>
      <c r="B8" s="5" t="inlineStr"/>
      <c r="C8" s="5" t="inlineStr"/>
      <c r="D8" s="5" t="inlineStr"/>
      <c r="E8" s="5" t="inlineStr"/>
    </row>
    <row r="9">
      <c r="A9" s="4" t="inlineStr">
        <is>
          <t>Product Manager</t>
        </is>
      </c>
      <c r="B9" s="4" t="inlineStr">
        <is>
          <t>Leadership</t>
        </is>
      </c>
      <c r="C9" s="4" t="inlineStr">
        <is>
          <t>Critical ★★★</t>
        </is>
      </c>
      <c r="D9" s="4" t="n">
        <v>3</v>
      </c>
      <c r="E9" s="4" t="n">
        <v>15</v>
      </c>
    </row>
    <row r="10">
      <c r="A10" s="4" t="inlineStr">
        <is>
          <t>Product Manager</t>
        </is>
      </c>
      <c r="B10" s="4" t="inlineStr">
        <is>
          <t>Communication</t>
        </is>
      </c>
      <c r="C10" s="4" t="inlineStr">
        <is>
          <t>Critical ★★★</t>
        </is>
      </c>
      <c r="D10" s="4" t="n">
        <v>3</v>
      </c>
      <c r="E10" s="4" t="n">
        <v>16</v>
      </c>
    </row>
    <row r="11">
      <c r="A11" s="4" t="inlineStr">
        <is>
          <t>Product Manager</t>
        </is>
      </c>
      <c r="B11" s="4" t="inlineStr">
        <is>
          <t>Strategic Thinking</t>
        </is>
      </c>
      <c r="C11" s="4" t="inlineStr">
        <is>
          <t>Critical ★★★</t>
        </is>
      </c>
      <c r="D11" s="4" t="n">
        <v>3</v>
      </c>
      <c r="E11" s="4" t="n">
        <v>14</v>
      </c>
    </row>
    <row r="12">
      <c r="A12" s="4" t="inlineStr">
        <is>
          <t>Product Manager</t>
        </is>
      </c>
      <c r="B12" s="4" t="inlineStr">
        <is>
          <t>Negotiation</t>
        </is>
      </c>
      <c r="C12" s="4" t="inlineStr">
        <is>
          <t>Important ★★</t>
        </is>
      </c>
      <c r="D12" s="4" t="n">
        <v>2</v>
      </c>
      <c r="E12" s="4" t="n">
        <v>12</v>
      </c>
    </row>
    <row r="13">
      <c r="A13" s="4" t="inlineStr">
        <is>
          <t>Product Manager</t>
        </is>
      </c>
      <c r="B13" s="4" t="inlineStr">
        <is>
          <t>Problem Solving</t>
        </is>
      </c>
      <c r="C13" s="4" t="inlineStr">
        <is>
          <t>Important ★★</t>
        </is>
      </c>
      <c r="D13" s="4" t="n">
        <v>2</v>
      </c>
      <c r="E13" s="4" t="n">
        <v>14</v>
      </c>
    </row>
    <row r="14">
      <c r="A14" s="4" t="inlineStr">
        <is>
          <t>Product Manager</t>
        </is>
      </c>
      <c r="B14" s="4" t="inlineStr">
        <is>
          <t>Teamwork</t>
        </is>
      </c>
      <c r="C14" s="4" t="inlineStr">
        <is>
          <t>Nice-to-have ★</t>
        </is>
      </c>
      <c r="D14" s="4" t="n">
        <v>1</v>
      </c>
      <c r="E14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6" customWidth="1" min="5" max="5"/>
  </cols>
  <sheetData>
    <row r="1">
      <c r="A1" s="6" t="inlineStr">
        <is>
          <t>OVERALL SCORE CALCULATOR</t>
        </is>
      </c>
    </row>
    <row r="3">
      <c r="A3" t="inlineStr">
        <is>
          <t>Formula: Σ(value × weight) / Σ(weight) × 5</t>
        </is>
      </c>
    </row>
    <row r="4">
      <c r="A4" t="inlineStr">
        <is>
          <t>Enter player attribute values in column C</t>
        </is>
      </c>
    </row>
    <row r="6">
      <c r="A6" s="3" t="inlineStr">
        <is>
          <t>Attribute</t>
        </is>
      </c>
      <c r="B6" s="3" t="inlineStr">
        <is>
          <t>Weight</t>
        </is>
      </c>
      <c r="C6" s="3" t="inlineStr">
        <is>
          <t>Value (1-20)</t>
        </is>
      </c>
      <c r="D6" s="3" t="inlineStr">
        <is>
          <t>Multiplier</t>
        </is>
      </c>
      <c r="E6" s="3" t="inlineStr">
        <is>
          <t>Weighted Value</t>
        </is>
      </c>
    </row>
    <row r="7">
      <c r="A7" s="4" t="inlineStr">
        <is>
          <t>Leadership</t>
        </is>
      </c>
      <c r="B7" s="4" t="inlineStr">
        <is>
          <t>High</t>
        </is>
      </c>
      <c r="C7" s="4" t="n">
        <v>14</v>
      </c>
      <c r="D7" s="4">
        <f>IF(B7="High",1.5,IF(B7="Medium",1.25,1))</f>
        <v/>
      </c>
      <c r="E7" s="4">
        <f>C7*D7</f>
        <v/>
      </c>
    </row>
    <row r="8">
      <c r="A8" s="4" t="inlineStr">
        <is>
          <t>Teamwork</t>
        </is>
      </c>
      <c r="B8" s="4" t="inlineStr">
        <is>
          <t>High</t>
        </is>
      </c>
      <c r="C8" s="4" t="n">
        <v>16</v>
      </c>
      <c r="D8" s="4">
        <f>IF(B8="High",1.5,IF(B8="Medium",1.25,1))</f>
        <v/>
      </c>
      <c r="E8" s="4">
        <f>C8*D8</f>
        <v/>
      </c>
    </row>
    <row r="9">
      <c r="A9" s="4" t="inlineStr">
        <is>
          <t>Communication</t>
        </is>
      </c>
      <c r="B9" s="4" t="inlineStr">
        <is>
          <t>Medium</t>
        </is>
      </c>
      <c r="C9" s="4" t="n">
        <v>13</v>
      </c>
      <c r="D9" s="4">
        <f>IF(B9="High",1.5,IF(B9="Medium",1.25,1))</f>
        <v/>
      </c>
      <c r="E9" s="4">
        <f>C9*D9</f>
        <v/>
      </c>
    </row>
    <row r="10">
      <c r="A10" s="4" t="inlineStr">
        <is>
          <t>Coding</t>
        </is>
      </c>
      <c r="B10" s="4" t="inlineStr">
        <is>
          <t>High</t>
        </is>
      </c>
      <c r="C10" s="4" t="n">
        <v>17</v>
      </c>
      <c r="D10" s="4">
        <f>IF(B10="High",1.5,IF(B10="Medium",1.25,1))</f>
        <v/>
      </c>
      <c r="E10" s="4">
        <f>C10*D10</f>
        <v/>
      </c>
    </row>
    <row r="11">
      <c r="A11" s="4" t="inlineStr">
        <is>
          <t>System Design</t>
        </is>
      </c>
      <c r="B11" s="4" t="inlineStr">
        <is>
          <t>High</t>
        </is>
      </c>
      <c r="C11" s="4" t="n">
        <v>15</v>
      </c>
      <c r="D11" s="4">
        <f>IF(B11="High",1.5,IF(B11="Medium",1.25,1))</f>
        <v/>
      </c>
      <c r="E11" s="4">
        <f>C11*D11</f>
        <v/>
      </c>
    </row>
    <row r="12">
      <c r="A12" s="4" t="inlineStr">
        <is>
          <t>Problem Solving</t>
        </is>
      </c>
      <c r="B12" s="4" t="inlineStr">
        <is>
          <t>Medium</t>
        </is>
      </c>
      <c r="C12" s="4" t="n">
        <v>15</v>
      </c>
      <c r="D12" s="4">
        <f>IF(B12="High",1.5,IF(B12="Medium",1.25,1))</f>
        <v/>
      </c>
      <c r="E12" s="4">
        <f>C12*D12</f>
        <v/>
      </c>
    </row>
    <row r="13">
      <c r="A13" s="4" t="inlineStr">
        <is>
          <t>Adaptability</t>
        </is>
      </c>
      <c r="B13" s="4" t="inlineStr">
        <is>
          <t>Medium</t>
        </is>
      </c>
      <c r="C13" s="4" t="n">
        <v>12</v>
      </c>
      <c r="D13" s="4">
        <f>IF(B13="High",1.5,IF(B13="Medium",1.25,1))</f>
        <v/>
      </c>
      <c r="E13" s="4">
        <f>C13*D13</f>
        <v/>
      </c>
    </row>
    <row r="14">
      <c r="A14" s="4" t="inlineStr">
        <is>
          <t>Creativity</t>
        </is>
      </c>
      <c r="B14" s="4" t="inlineStr">
        <is>
          <t>Low</t>
        </is>
      </c>
      <c r="C14" s="4" t="n">
        <v>11</v>
      </c>
      <c r="D14" s="4">
        <f>IF(B14="High",1.5,IF(B14="Medium",1.25,1))</f>
        <v/>
      </c>
      <c r="E14" s="4">
        <f>C14*D14</f>
        <v/>
      </c>
    </row>
    <row r="16">
      <c r="C16" s="2" t="inlineStr">
        <is>
          <t>Totals:</t>
        </is>
      </c>
      <c r="D16">
        <f>SUM(D7:D14)</f>
        <v/>
      </c>
      <c r="E16">
        <f>SUM(E7:E14)</f>
        <v/>
      </c>
    </row>
    <row r="18">
      <c r="A18" s="7" t="inlineStr">
        <is>
          <t>OVERALL SCORE:</t>
        </is>
      </c>
      <c r="C18" s="8">
        <f>ROUND(E16/D16*5,0)</f>
        <v/>
      </c>
    </row>
    <row r="20">
      <c r="A20" t="inlineStr">
        <is>
          <t>Tier:</t>
        </is>
      </c>
      <c r="C20">
        <f>IF(C18&gt;=90,"🥇 Gold",IF(C18&gt;=80,"🥈 Silver","🥉 Bronze"))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6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>
      <c r="A1" s="6" t="inlineStr">
        <is>
          <t>POSITION FIT SCORE CALCULATOR</t>
        </is>
      </c>
    </row>
    <row r="3">
      <c r="A3" t="inlineStr">
        <is>
          <t>Position: Senior Backend Developer</t>
        </is>
      </c>
    </row>
    <row r="4">
      <c r="A4" t="inlineStr">
        <is>
          <t>Formula: Σ(score × priority_weight) / Σ(priority_weight)</t>
        </is>
      </c>
    </row>
    <row r="6">
      <c r="A6" s="3" t="inlineStr">
        <is>
          <t>Attribute</t>
        </is>
      </c>
      <c r="B6" s="3" t="inlineStr">
        <is>
          <t>Min Req</t>
        </is>
      </c>
      <c r="C6" s="3" t="inlineStr">
        <is>
          <t>Actual</t>
        </is>
      </c>
      <c r="D6" s="3" t="inlineStr">
        <is>
          <t>Gap</t>
        </is>
      </c>
      <c r="E6" s="3" t="inlineStr">
        <is>
          <t>Classification</t>
        </is>
      </c>
      <c r="F6" s="3" t="inlineStr">
        <is>
          <t>Score</t>
        </is>
      </c>
      <c r="G6" s="3" t="inlineStr">
        <is>
          <t>Priority Wgt</t>
        </is>
      </c>
      <c r="H6" s="3" t="inlineStr">
        <is>
          <t>Weighted Score</t>
        </is>
      </c>
    </row>
    <row r="7">
      <c r="A7" s="4" t="inlineStr">
        <is>
          <t>Coding</t>
        </is>
      </c>
      <c r="B7" s="4" t="n">
        <v>15</v>
      </c>
      <c r="C7" s="4" t="n">
        <v>17</v>
      </c>
      <c r="D7" s="4">
        <f>C7-B7</f>
        <v/>
      </c>
      <c r="E7" s="4">
        <f>IF(C7&gt;=B7+2,"Exceeds",IF(C7&gt;=B7-1,"Meets","Below"))</f>
        <v/>
      </c>
      <c r="F7" s="4">
        <f>IF(C7&gt;=B7+2,100,IF(C7&gt;=B7-1,100,MAX(0,100-(B7-C7)*15)))</f>
        <v/>
      </c>
      <c r="G7" s="4" t="n">
        <v>3</v>
      </c>
      <c r="H7" s="4">
        <f>F7*G7</f>
        <v/>
      </c>
    </row>
    <row r="8">
      <c r="A8" s="4" t="inlineStr">
        <is>
          <t>System Design</t>
        </is>
      </c>
      <c r="B8" s="4" t="n">
        <v>13</v>
      </c>
      <c r="C8" s="4" t="n">
        <v>15</v>
      </c>
      <c r="D8" s="4">
        <f>C8-B8</f>
        <v/>
      </c>
      <c r="E8" s="4">
        <f>IF(C8&gt;=B8+2,"Exceeds",IF(C8&gt;=B8-1,"Meets","Below"))</f>
        <v/>
      </c>
      <c r="F8" s="4">
        <f>IF(C8&gt;=B8+2,100,IF(C8&gt;=B8-1,100,MAX(0,100-(B8-C8)*15)))</f>
        <v/>
      </c>
      <c r="G8" s="4" t="n">
        <v>3</v>
      </c>
      <c r="H8" s="4">
        <f>F8*G8</f>
        <v/>
      </c>
    </row>
    <row r="9">
      <c r="A9" s="4" t="inlineStr">
        <is>
          <t>Teamwork</t>
        </is>
      </c>
      <c r="B9" s="4" t="n">
        <v>14</v>
      </c>
      <c r="C9" s="4" t="n">
        <v>14</v>
      </c>
      <c r="D9" s="4">
        <f>C9-B9</f>
        <v/>
      </c>
      <c r="E9" s="4">
        <f>IF(C9&gt;=B9+2,"Exceeds",IF(C9&gt;=B9-1,"Meets","Below"))</f>
        <v/>
      </c>
      <c r="F9" s="4">
        <f>IF(C9&gt;=B9+2,100,IF(C9&gt;=B9-1,100,MAX(0,100-(B9-C9)*15)))</f>
        <v/>
      </c>
      <c r="G9" s="4" t="n">
        <v>3</v>
      </c>
      <c r="H9" s="4">
        <f>F9*G9</f>
        <v/>
      </c>
    </row>
    <row r="10">
      <c r="A10" s="4" t="inlineStr">
        <is>
          <t>Leadership</t>
        </is>
      </c>
      <c r="B10" s="4" t="n">
        <v>12</v>
      </c>
      <c r="C10" s="4" t="n">
        <v>14</v>
      </c>
      <c r="D10" s="4">
        <f>C10-B10</f>
        <v/>
      </c>
      <c r="E10" s="4">
        <f>IF(C10&gt;=B10+2,"Exceeds",IF(C10&gt;=B10-1,"Meets","Below"))</f>
        <v/>
      </c>
      <c r="F10" s="4">
        <f>IF(C10&gt;=B10+2,100,IF(C10&gt;=B10-1,100,MAX(0,100-(B10-C10)*15)))</f>
        <v/>
      </c>
      <c r="G10" s="4" t="n">
        <v>2</v>
      </c>
      <c r="H10" s="4">
        <f>F10*G10</f>
        <v/>
      </c>
    </row>
    <row r="11">
      <c r="A11" s="4" t="inlineStr">
        <is>
          <t>Problem Solving</t>
        </is>
      </c>
      <c r="B11" s="4" t="n">
        <v>12</v>
      </c>
      <c r="C11" s="4" t="n">
        <v>10</v>
      </c>
      <c r="D11" s="4">
        <f>C11-B11</f>
        <v/>
      </c>
      <c r="E11" s="4">
        <f>IF(C11&gt;=B11+2,"Exceeds",IF(C11&gt;=B11-1,"Meets","Below"))</f>
        <v/>
      </c>
      <c r="F11" s="4">
        <f>IF(C11&gt;=B11+2,100,IF(C11&gt;=B11-1,100,MAX(0,100-(B11-C11)*15)))</f>
        <v/>
      </c>
      <c r="G11" s="4" t="n">
        <v>2</v>
      </c>
      <c r="H11" s="4">
        <f>F11*G11</f>
        <v/>
      </c>
    </row>
    <row r="12">
      <c r="A12" s="4" t="inlineStr">
        <is>
          <t>Communication</t>
        </is>
      </c>
      <c r="B12" s="4" t="n">
        <v>10</v>
      </c>
      <c r="C12" s="4" t="n">
        <v>13</v>
      </c>
      <c r="D12" s="4">
        <f>C12-B12</f>
        <v/>
      </c>
      <c r="E12" s="4">
        <f>IF(C12&gt;=B12+2,"Exceeds",IF(C12&gt;=B12-1,"Meets","Below"))</f>
        <v/>
      </c>
      <c r="F12" s="4">
        <f>IF(C12&gt;=B12+2,100,IF(C12&gt;=B12-1,100,MAX(0,100-(B12-C12)*15)))</f>
        <v/>
      </c>
      <c r="G12" s="4" t="n">
        <v>1</v>
      </c>
      <c r="H12" s="4">
        <f>F12*G12</f>
        <v/>
      </c>
    </row>
    <row r="14">
      <c r="F14" t="inlineStr">
        <is>
          <t>Totals:</t>
        </is>
      </c>
      <c r="G14">
        <f>SUM(G7:G12)</f>
        <v/>
      </c>
      <c r="H14">
        <f>SUM(H7:H12)</f>
        <v/>
      </c>
    </row>
    <row r="16">
      <c r="A16" s="7" t="inlineStr">
        <is>
          <t>FIT SCORE:</t>
        </is>
      </c>
      <c r="C16" s="9">
        <f>ROUND(H14/G14,0)&amp;"%"</f>
        <v/>
      </c>
    </row>
    <row r="18">
      <c r="A18" t="inlineStr">
        <is>
          <t>Rating:</t>
        </is>
      </c>
      <c r="C18">
        <f>IF(H14/G14&gt;=90,"Excellent",IF(H14/G14&gt;=70,"Good",IF(H14/G14&gt;=50,"Fair","Poor")))</f>
        <v/>
      </c>
    </row>
    <row r="20">
      <c r="A20" s="2" t="inlineStr">
        <is>
          <t>GAP ANALYSIS:</t>
        </is>
      </c>
    </row>
    <row r="21">
      <c r="A21" t="inlineStr">
        <is>
          <t>▲ Exceeds:</t>
        </is>
      </c>
      <c r="B21">
        <f>COUNTIF(E7:E12,"Exceeds")</f>
        <v/>
      </c>
    </row>
    <row r="22">
      <c r="A22" t="inlineStr">
        <is>
          <t>— Meets:</t>
        </is>
      </c>
      <c r="B22">
        <f>COUNTIF(E7:E12,"Meets")</f>
        <v/>
      </c>
    </row>
    <row r="23">
      <c r="A23" t="inlineStr">
        <is>
          <t>▼ Below:</t>
        </is>
      </c>
      <c r="B23">
        <f>COUNTIF(E7:E12,"Below")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/>
    </row>
    <row r="2">
      <c r="A2" t="inlineStr">
        <is>
          <t>PLAYER ATTRIBUTES:</t>
        </is>
      </c>
    </row>
    <row r="3">
      <c r="A3" t="inlineStr">
        <is>
          <t>Attribute</t>
        </is>
      </c>
      <c r="B3" t="inlineStr">
        <is>
          <t>Value</t>
        </is>
      </c>
      <c r="C3" t="inlineStr">
        <is>
          <t>Library Weight</t>
        </is>
      </c>
      <c r="D3" t="inlineStr">
        <is>
          <t>Multiplier</t>
        </is>
      </c>
    </row>
    <row r="4">
      <c r="A4" t="inlineStr">
        <is>
          <t>Leadership</t>
        </is>
      </c>
      <c r="B4" t="n">
        <v>17</v>
      </c>
      <c r="C4" t="inlineStr">
        <is>
          <t>High</t>
        </is>
      </c>
      <c r="D4" t="n">
        <v>1.5</v>
      </c>
    </row>
    <row r="5">
      <c r="A5" t="inlineStr">
        <is>
          <t>Teamwork</t>
        </is>
      </c>
      <c r="B5" t="n">
        <v>14</v>
      </c>
      <c r="C5" t="inlineStr">
        <is>
          <t>High</t>
        </is>
      </c>
      <c r="D5" t="n">
        <v>1.5</v>
      </c>
    </row>
    <row r="6">
      <c r="A6" t="inlineStr">
        <is>
          <t>Communication</t>
        </is>
      </c>
      <c r="B6" t="n">
        <v>16</v>
      </c>
      <c r="C6" t="inlineStr">
        <is>
          <t>Medium</t>
        </is>
      </c>
      <c r="D6" t="n">
        <v>1.25</v>
      </c>
    </row>
    <row r="7">
      <c r="A7" t="inlineStr">
        <is>
          <t>Coding</t>
        </is>
      </c>
      <c r="B7" t="n">
        <v>18</v>
      </c>
      <c r="C7" t="inlineStr">
        <is>
          <t>High</t>
        </is>
      </c>
      <c r="D7" t="n">
        <v>1.5</v>
      </c>
    </row>
    <row r="8">
      <c r="A8" t="inlineStr">
        <is>
          <t>System Design</t>
        </is>
      </c>
      <c r="B8" t="n">
        <v>17</v>
      </c>
      <c r="C8" t="inlineStr">
        <is>
          <t>High</t>
        </is>
      </c>
      <c r="D8" t="n">
        <v>1.5</v>
      </c>
    </row>
    <row r="9">
      <c r="A9" t="inlineStr">
        <is>
          <t>Problem Solving</t>
        </is>
      </c>
      <c r="B9" t="n">
        <v>17</v>
      </c>
      <c r="C9" t="inlineStr">
        <is>
          <t>Medium</t>
        </is>
      </c>
      <c r="D9" t="n">
        <v>1.25</v>
      </c>
    </row>
    <row r="10">
      <c r="A10" t="inlineStr">
        <is>
          <t>Adaptability</t>
        </is>
      </c>
      <c r="B10" t="n">
        <v>13</v>
      </c>
      <c r="C10" t="inlineStr">
        <is>
          <t>Medium</t>
        </is>
      </c>
      <c r="D10" t="n">
        <v>1.25</v>
      </c>
    </row>
    <row r="11">
      <c r="A11" t="inlineStr">
        <is>
          <t>Initiative</t>
        </is>
      </c>
      <c r="B11" t="n">
        <v>16</v>
      </c>
      <c r="C11" t="inlineStr">
        <is>
          <t>Low</t>
        </is>
      </c>
      <c r="D11" t="n">
        <v>1</v>
      </c>
    </row>
    <row r="12">
      <c r="A12" t="inlineStr"/>
    </row>
    <row r="13">
      <c r="A13" t="inlineStr">
        <is>
          <t>OVERALL SCORE CALCULATION:</t>
        </is>
      </c>
    </row>
    <row r="14">
      <c r="A14" t="inlineStr">
        <is>
          <t>Sum of weighted values:</t>
        </is>
      </c>
      <c r="B14">
        <f> 17×1.5 + 14×1.5 + 16×1.25 + 18×1.5 + 17×1.5 + 17×1.25 + 13×1.25 + 16×1.0 = 173.75</f>
        <v/>
      </c>
    </row>
    <row r="15">
      <c r="A15" t="inlineStr">
        <is>
          <t>Sum of weights:</t>
        </is>
      </c>
      <c r="B15">
        <f> 1.5 + 1.5 + 1.25 + 1.5 + 1.5 + 1.25 + 1.25 + 1.0 = 10.75</f>
        <v/>
      </c>
    </row>
    <row r="16">
      <c r="A16" t="inlineStr">
        <is>
          <t>Raw average:</t>
        </is>
      </c>
      <c r="B16">
        <f> 173.75 / 10.75 = 16.16</f>
        <v/>
      </c>
    </row>
    <row r="17">
      <c r="A17" t="inlineStr">
        <is>
          <t>Overall Score:</t>
        </is>
      </c>
      <c r="B17">
        <f> 16.16 × 5 = 80.8 ≈ 81 (Silver Tier)</f>
        <v/>
      </c>
    </row>
    <row r="18">
      <c r="A18" t="inlineStr"/>
    </row>
    <row r="19">
      <c r="A19" t="inlineStr">
        <is>
          <t>POSITION FIT (Tech Lead):</t>
        </is>
      </c>
    </row>
    <row r="20">
      <c r="A20" t="inlineStr">
        <is>
          <t>Tech Lead requires: Leadership(14), Teamwork(15), Communication(12), Coding(16), Problem(14)</t>
        </is>
      </c>
    </row>
    <row r="21">
      <c r="A21" t="inlineStr"/>
    </row>
    <row r="22">
      <c r="A22" t="inlineStr">
        <is>
          <t>Attribute</t>
        </is>
      </c>
      <c r="B22" t="inlineStr">
        <is>
          <t>Actual</t>
        </is>
      </c>
      <c r="C22" t="inlineStr">
        <is>
          <t>Required</t>
        </is>
      </c>
      <c r="D22" t="inlineStr">
        <is>
          <t>Gap</t>
        </is>
      </c>
      <c r="E22" t="inlineStr">
        <is>
          <t>Score</t>
        </is>
      </c>
    </row>
    <row r="23">
      <c r="A23" t="inlineStr">
        <is>
          <t>Leadership</t>
        </is>
      </c>
      <c r="B23" t="n">
        <v>17</v>
      </c>
      <c r="C23" t="n">
        <v>14</v>
      </c>
      <c r="D23" t="inlineStr">
        <is>
          <t>+3 Exceeds</t>
        </is>
      </c>
      <c r="E23" t="n">
        <v>100</v>
      </c>
    </row>
    <row r="24">
      <c r="A24" t="inlineStr">
        <is>
          <t>Teamwork</t>
        </is>
      </c>
      <c r="B24" t="n">
        <v>14</v>
      </c>
      <c r="C24" t="n">
        <v>15</v>
      </c>
      <c r="D24" t="inlineStr">
        <is>
          <t>-1 Meets</t>
        </is>
      </c>
      <c r="E24" t="n">
        <v>100</v>
      </c>
    </row>
    <row r="25">
      <c r="A25" t="inlineStr">
        <is>
          <t>Communication</t>
        </is>
      </c>
      <c r="B25" t="n">
        <v>16</v>
      </c>
      <c r="C25" t="n">
        <v>12</v>
      </c>
      <c r="D25" t="inlineStr">
        <is>
          <t>+4 Exceeds</t>
        </is>
      </c>
      <c r="E25" t="n">
        <v>100</v>
      </c>
    </row>
    <row r="26">
      <c r="A26" t="inlineStr">
        <is>
          <t>Coding</t>
        </is>
      </c>
      <c r="B26" t="n">
        <v>18</v>
      </c>
      <c r="C26" t="n">
        <v>16</v>
      </c>
      <c r="D26" t="inlineStr">
        <is>
          <t>+2 Exceeds</t>
        </is>
      </c>
      <c r="E26" t="n">
        <v>100</v>
      </c>
    </row>
    <row r="27">
      <c r="A27" t="inlineStr">
        <is>
          <t>Problem Solving</t>
        </is>
      </c>
      <c r="B27" t="n">
        <v>17</v>
      </c>
      <c r="C27" t="n">
        <v>14</v>
      </c>
      <c r="D27" t="inlineStr">
        <is>
          <t>+3 Exceeds</t>
        </is>
      </c>
      <c r="E27" t="n">
        <v>100</v>
      </c>
    </row>
    <row r="28">
      <c r="A28" t="inlineStr"/>
    </row>
    <row r="29">
      <c r="A29" t="inlineStr">
        <is>
          <t>Fit Score: (100×3 + 100×3 + 100×2 + 100×3 + 100×2) / (3+3+2+3+2) = 1300/13 =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2025-12-25T08:51:29Z</dcterms:created>
  <dcterms:modified xsi:type="dcterms:W3CDTF">2025-12-25T08:51:29Z</dcterms:modified>
</cp:coreProperties>
</file>